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po\_LOCAL\Caves&amp;Lizards\"/>
    </mc:Choice>
  </mc:AlternateContent>
  <bookViews>
    <workbookView xWindow="0" yWindow="0" windowWidth="28800" windowHeight="140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L3" i="1"/>
  <c r="T24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3" i="1"/>
  <c r="T4" i="1"/>
  <c r="Y4" i="1" s="1"/>
  <c r="T5" i="1"/>
  <c r="Y5" i="1" s="1"/>
  <c r="T6" i="1"/>
  <c r="T7" i="1"/>
  <c r="Y7" i="1" s="1"/>
  <c r="T8" i="1"/>
  <c r="Y8" i="1" s="1"/>
  <c r="T9" i="1"/>
  <c r="Y9" i="1" s="1"/>
  <c r="T10" i="1"/>
  <c r="T11" i="1"/>
  <c r="Y11" i="1" s="1"/>
  <c r="T12" i="1"/>
  <c r="Y12" i="1" s="1"/>
  <c r="T13" i="1"/>
  <c r="Y13" i="1" s="1"/>
  <c r="T14" i="1"/>
  <c r="T15" i="1"/>
  <c r="Y15" i="1" s="1"/>
  <c r="T16" i="1"/>
  <c r="Y16" i="1" s="1"/>
  <c r="T17" i="1"/>
  <c r="Y17" i="1" s="1"/>
  <c r="T18" i="1"/>
  <c r="T19" i="1"/>
  <c r="Y19" i="1" s="1"/>
  <c r="T20" i="1"/>
  <c r="Y20" i="1" s="1"/>
  <c r="T21" i="1"/>
  <c r="Y21" i="1" s="1"/>
  <c r="T22" i="1"/>
  <c r="T23" i="1"/>
  <c r="Y23" i="1" s="1"/>
  <c r="T3" i="1"/>
  <c r="Y3" i="1" s="1"/>
  <c r="S4" i="1"/>
  <c r="S5" i="1"/>
  <c r="S6" i="1"/>
  <c r="S7" i="1"/>
  <c r="X7" i="1" s="1"/>
  <c r="S8" i="1"/>
  <c r="S9" i="1"/>
  <c r="S10" i="1"/>
  <c r="X10" i="1" s="1"/>
  <c r="S11" i="1"/>
  <c r="X11" i="1" s="1"/>
  <c r="S12" i="1"/>
  <c r="S13" i="1"/>
  <c r="S14" i="1"/>
  <c r="X14" i="1" s="1"/>
  <c r="S15" i="1"/>
  <c r="X15" i="1" s="1"/>
  <c r="S16" i="1"/>
  <c r="S17" i="1"/>
  <c r="S18" i="1"/>
  <c r="X18" i="1" s="1"/>
  <c r="S19" i="1"/>
  <c r="X19" i="1" s="1"/>
  <c r="S20" i="1"/>
  <c r="S21" i="1"/>
  <c r="S22" i="1"/>
  <c r="X22" i="1" s="1"/>
  <c r="S23" i="1"/>
  <c r="X23" i="1" s="1"/>
  <c r="S24" i="1"/>
  <c r="X24" i="1" s="1"/>
  <c r="S3" i="1"/>
  <c r="X3" i="1" s="1"/>
  <c r="R4" i="1"/>
  <c r="W4" i="1" s="1"/>
  <c r="R5" i="1"/>
  <c r="W5" i="1" s="1"/>
  <c r="R6" i="1"/>
  <c r="R7" i="1"/>
  <c r="W7" i="1" s="1"/>
  <c r="R8" i="1"/>
  <c r="W8" i="1" s="1"/>
  <c r="R9" i="1"/>
  <c r="W9" i="1" s="1"/>
  <c r="R10" i="1"/>
  <c r="W10" i="1" s="1"/>
  <c r="R11" i="1"/>
  <c r="W11" i="1" s="1"/>
  <c r="R12" i="1"/>
  <c r="R13" i="1"/>
  <c r="W13" i="1" s="1"/>
  <c r="R14" i="1"/>
  <c r="W14" i="1" s="1"/>
  <c r="R15" i="1"/>
  <c r="W15" i="1" s="1"/>
  <c r="R16" i="1"/>
  <c r="W16" i="1" s="1"/>
  <c r="R17" i="1"/>
  <c r="W17" i="1" s="1"/>
  <c r="R18" i="1"/>
  <c r="W18" i="1" s="1"/>
  <c r="R19" i="1"/>
  <c r="W19" i="1" s="1"/>
  <c r="R20" i="1"/>
  <c r="R21" i="1"/>
  <c r="W21" i="1" s="1"/>
  <c r="R22" i="1"/>
  <c r="R23" i="1"/>
  <c r="W23" i="1" s="1"/>
  <c r="R24" i="1"/>
  <c r="W24" i="1" s="1"/>
  <c r="R3" i="1"/>
  <c r="W3" i="1" s="1"/>
  <c r="Q4" i="1"/>
  <c r="Q5" i="1"/>
  <c r="V5" i="1" s="1"/>
  <c r="Q6" i="1"/>
  <c r="V6" i="1" s="1"/>
  <c r="Q7" i="1"/>
  <c r="V7" i="1" s="1"/>
  <c r="Q8" i="1"/>
  <c r="Q9" i="1"/>
  <c r="V9" i="1" s="1"/>
  <c r="Q10" i="1"/>
  <c r="V10" i="1" s="1"/>
  <c r="Q11" i="1"/>
  <c r="V11" i="1" s="1"/>
  <c r="Q12" i="1"/>
  <c r="V12" i="1" s="1"/>
  <c r="Q13" i="1"/>
  <c r="V13" i="1" s="1"/>
  <c r="Q14" i="1"/>
  <c r="V14" i="1" s="1"/>
  <c r="Q15" i="1"/>
  <c r="V15" i="1" s="1"/>
  <c r="Q16" i="1"/>
  <c r="Q17" i="1"/>
  <c r="Q18" i="1"/>
  <c r="V18" i="1" s="1"/>
  <c r="Q19" i="1"/>
  <c r="V19" i="1" s="1"/>
  <c r="Q20" i="1"/>
  <c r="Q21" i="1"/>
  <c r="V21" i="1" s="1"/>
  <c r="Q22" i="1"/>
  <c r="V22" i="1" s="1"/>
  <c r="Q23" i="1"/>
  <c r="V23" i="1" s="1"/>
  <c r="Q24" i="1"/>
  <c r="V24" i="1" s="1"/>
  <c r="V3" i="1"/>
  <c r="W6" i="1"/>
  <c r="X6" i="1"/>
  <c r="W22" i="1"/>
  <c r="V4" i="1"/>
  <c r="X4" i="1"/>
  <c r="X5" i="1"/>
  <c r="Y6" i="1"/>
  <c r="V8" i="1"/>
  <c r="X8" i="1"/>
  <c r="X9" i="1"/>
  <c r="Y10" i="1"/>
  <c r="W12" i="1"/>
  <c r="X12" i="1"/>
  <c r="X13" i="1"/>
  <c r="Y14" i="1"/>
  <c r="V16" i="1"/>
  <c r="X16" i="1"/>
  <c r="V17" i="1"/>
  <c r="X17" i="1"/>
  <c r="Y18" i="1"/>
  <c r="V20" i="1"/>
  <c r="W20" i="1"/>
  <c r="X20" i="1"/>
  <c r="X21" i="1"/>
  <c r="Y22" i="1"/>
  <c r="Y24" i="1"/>
  <c r="J24" i="1"/>
  <c r="O24" i="1" s="1"/>
  <c r="I24" i="1"/>
  <c r="N24" i="1" s="1"/>
  <c r="H24" i="1"/>
  <c r="M24" i="1" s="1"/>
  <c r="G24" i="1"/>
  <c r="L24" i="1" s="1"/>
  <c r="J23" i="1"/>
  <c r="O23" i="1" s="1"/>
  <c r="I23" i="1"/>
  <c r="N23" i="1" s="1"/>
  <c r="H23" i="1"/>
  <c r="M23" i="1" s="1"/>
  <c r="G23" i="1"/>
  <c r="L23" i="1" s="1"/>
  <c r="J22" i="1"/>
  <c r="O22" i="1" s="1"/>
  <c r="I22" i="1"/>
  <c r="N22" i="1" s="1"/>
  <c r="H22" i="1"/>
  <c r="M22" i="1" s="1"/>
  <c r="G22" i="1"/>
  <c r="L22" i="1" s="1"/>
  <c r="J21" i="1"/>
  <c r="O21" i="1" s="1"/>
  <c r="I21" i="1"/>
  <c r="N21" i="1" s="1"/>
  <c r="H21" i="1"/>
  <c r="M21" i="1" s="1"/>
  <c r="G21" i="1"/>
  <c r="L21" i="1" s="1"/>
  <c r="J20" i="1"/>
  <c r="O20" i="1" s="1"/>
  <c r="I20" i="1"/>
  <c r="N20" i="1" s="1"/>
  <c r="H20" i="1"/>
  <c r="M20" i="1" s="1"/>
  <c r="G20" i="1"/>
  <c r="L20" i="1" s="1"/>
  <c r="J19" i="1"/>
  <c r="O19" i="1" s="1"/>
  <c r="I19" i="1"/>
  <c r="N19" i="1" s="1"/>
  <c r="H19" i="1"/>
  <c r="M19" i="1" s="1"/>
  <c r="G19" i="1"/>
  <c r="L19" i="1" s="1"/>
  <c r="J18" i="1"/>
  <c r="O18" i="1" s="1"/>
  <c r="I18" i="1"/>
  <c r="N18" i="1" s="1"/>
  <c r="H18" i="1"/>
  <c r="M18" i="1" s="1"/>
  <c r="G18" i="1"/>
  <c r="L18" i="1" s="1"/>
  <c r="J17" i="1"/>
  <c r="O17" i="1" s="1"/>
  <c r="I17" i="1"/>
  <c r="N17" i="1" s="1"/>
  <c r="H17" i="1"/>
  <c r="M17" i="1" s="1"/>
  <c r="G17" i="1"/>
  <c r="L17" i="1" s="1"/>
  <c r="J16" i="1"/>
  <c r="O16" i="1" s="1"/>
  <c r="I16" i="1"/>
  <c r="N16" i="1" s="1"/>
  <c r="H16" i="1"/>
  <c r="M16" i="1" s="1"/>
  <c r="G16" i="1"/>
  <c r="L16" i="1" s="1"/>
  <c r="J15" i="1"/>
  <c r="O15" i="1" s="1"/>
  <c r="I15" i="1"/>
  <c r="N15" i="1" s="1"/>
  <c r="H15" i="1"/>
  <c r="M15" i="1" s="1"/>
  <c r="G15" i="1"/>
  <c r="L15" i="1" s="1"/>
  <c r="J14" i="1"/>
  <c r="O14" i="1" s="1"/>
  <c r="I14" i="1"/>
  <c r="N14" i="1" s="1"/>
  <c r="H14" i="1"/>
  <c r="M14" i="1" s="1"/>
  <c r="G14" i="1"/>
  <c r="L14" i="1" s="1"/>
  <c r="J13" i="1"/>
  <c r="O13" i="1" s="1"/>
  <c r="I13" i="1"/>
  <c r="N13" i="1" s="1"/>
  <c r="H13" i="1"/>
  <c r="M13" i="1" s="1"/>
  <c r="G13" i="1"/>
  <c r="L13" i="1" s="1"/>
  <c r="J12" i="1"/>
  <c r="O12" i="1" s="1"/>
  <c r="I12" i="1"/>
  <c r="N12" i="1" s="1"/>
  <c r="H12" i="1"/>
  <c r="M12" i="1" s="1"/>
  <c r="G12" i="1"/>
  <c r="L12" i="1" s="1"/>
  <c r="J11" i="1"/>
  <c r="O11" i="1" s="1"/>
  <c r="I11" i="1"/>
  <c r="N11" i="1" s="1"/>
  <c r="H11" i="1"/>
  <c r="M11" i="1" s="1"/>
  <c r="G11" i="1"/>
  <c r="L11" i="1" s="1"/>
  <c r="J10" i="1"/>
  <c r="O10" i="1" s="1"/>
  <c r="I10" i="1"/>
  <c r="N10" i="1" s="1"/>
  <c r="H10" i="1"/>
  <c r="M10" i="1" s="1"/>
  <c r="G10" i="1"/>
  <c r="L10" i="1" s="1"/>
  <c r="J9" i="1"/>
  <c r="O9" i="1" s="1"/>
  <c r="I9" i="1"/>
  <c r="N9" i="1" s="1"/>
  <c r="H9" i="1"/>
  <c r="M9" i="1" s="1"/>
  <c r="G9" i="1"/>
  <c r="L9" i="1" s="1"/>
  <c r="J8" i="1"/>
  <c r="O8" i="1" s="1"/>
  <c r="I8" i="1"/>
  <c r="N8" i="1" s="1"/>
  <c r="H8" i="1"/>
  <c r="M8" i="1" s="1"/>
  <c r="G8" i="1"/>
  <c r="L8" i="1" s="1"/>
  <c r="J7" i="1"/>
  <c r="O7" i="1" s="1"/>
  <c r="I7" i="1"/>
  <c r="N7" i="1" s="1"/>
  <c r="H7" i="1"/>
  <c r="M7" i="1" s="1"/>
  <c r="G7" i="1"/>
  <c r="L7" i="1" s="1"/>
  <c r="J6" i="1"/>
  <c r="O6" i="1" s="1"/>
  <c r="I6" i="1"/>
  <c r="N6" i="1" s="1"/>
  <c r="H6" i="1"/>
  <c r="M6" i="1" s="1"/>
  <c r="G6" i="1"/>
  <c r="L6" i="1" s="1"/>
  <c r="J5" i="1"/>
  <c r="O5" i="1" s="1"/>
  <c r="I5" i="1"/>
  <c r="N5" i="1" s="1"/>
  <c r="H5" i="1"/>
  <c r="M5" i="1" s="1"/>
  <c r="G5" i="1"/>
  <c r="L5" i="1" s="1"/>
  <c r="J4" i="1"/>
  <c r="O4" i="1" s="1"/>
  <c r="I4" i="1"/>
  <c r="N4" i="1" s="1"/>
  <c r="H4" i="1"/>
  <c r="M4" i="1" s="1"/>
  <c r="G4" i="1"/>
  <c r="L4" i="1" s="1"/>
  <c r="J3" i="1"/>
  <c r="O3" i="1" s="1"/>
  <c r="I3" i="1"/>
  <c r="N3" i="1" s="1"/>
  <c r="H3" i="1"/>
  <c r="M3" i="1" s="1"/>
  <c r="G3" i="1"/>
</calcChain>
</file>

<file path=xl/sharedStrings.xml><?xml version="1.0" encoding="utf-8"?>
<sst xmlns="http://schemas.openxmlformats.org/spreadsheetml/2006/main" count="5" uniqueCount="5">
  <si>
    <t>diffMult</t>
  </si>
  <si>
    <t>levDiv</t>
  </si>
  <si>
    <t>4 players / upper</t>
  </si>
  <si>
    <t>4 players / lower</t>
  </si>
  <si>
    <t>e-faktor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</si>
</sst>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AB24"/>
  <sheetViews>
    <sheetView tabSelected="1" workbookViewId="0">
      <selection activeCell="Q3" sqref="Q3"/>
    </sheetView>
  </sheetViews>
  <sheetFormatPr defaultRowHeight="15" x14ac:dyDescent="0.25"/>
  <sheetData>
    <row r="1" spans="3:28" x14ac:dyDescent="0.25">
      <c r="C1" t="s">
        <v>0</v>
      </c>
      <c r="D1" t="s">
        <v>1</v>
      </c>
      <c r="Q1">
        <v>2</v>
      </c>
      <c r="AA1" t="s">
        <v>4</v>
      </c>
      <c r="AB1">
        <v>-0.05</v>
      </c>
    </row>
    <row r="2" spans="3:28" x14ac:dyDescent="0.25">
      <c r="C2">
        <v>1</v>
      </c>
      <c r="D2">
        <v>0.5</v>
      </c>
      <c r="G2" s="1" t="s">
        <v>2</v>
      </c>
      <c r="H2" s="1"/>
      <c r="I2" s="1"/>
      <c r="J2" s="1"/>
      <c r="L2" s="1" t="s">
        <v>3</v>
      </c>
      <c r="M2" s="1"/>
      <c r="N2" s="1"/>
      <c r="O2" s="1"/>
      <c r="Q2">
        <v>0.1</v>
      </c>
      <c r="R2">
        <v>0.15</v>
      </c>
      <c r="S2">
        <v>0.2</v>
      </c>
      <c r="T2">
        <v>0.25</v>
      </c>
    </row>
    <row r="3" spans="3:28" x14ac:dyDescent="0.25">
      <c r="C3">
        <v>1.05</v>
      </c>
      <c r="D3">
        <v>0.6</v>
      </c>
      <c r="E3">
        <v>1</v>
      </c>
      <c r="G3">
        <f>ROUNDUP($C$2*$E3,0)</f>
        <v>1</v>
      </c>
      <c r="H3">
        <f>ROUNDUP($C$3*$E3,0)</f>
        <v>2</v>
      </c>
      <c r="I3">
        <f>ROUNDUP($C$4*$E3,0)</f>
        <v>2</v>
      </c>
      <c r="J3">
        <f>ROUNDUP($C$5*$E3,0)</f>
        <v>2</v>
      </c>
      <c r="L3">
        <f>ROUNDUP(G3*$D$2,0)</f>
        <v>1</v>
      </c>
      <c r="M3">
        <f>ROUNDUP(H3*$D$3,0)</f>
        <v>2</v>
      </c>
      <c r="N3">
        <f>ROUNDUP(I3*$D$4,0)</f>
        <v>2</v>
      </c>
      <c r="O3">
        <f>ROUNDUP(J3*$D$5,0)</f>
        <v>2</v>
      </c>
      <c r="Q3">
        <f>ROUNDUP(G3+(G3*$Q$1*$Q$2*EXP(E3*$AB$1)),0)</f>
        <v>2</v>
      </c>
      <c r="R3">
        <f>ROUNDUP(H3+(H3*$Q$1*$R$2*EXP(E3*$AB$1)),0)</f>
        <v>3</v>
      </c>
      <c r="S3">
        <f>ROUNDUP(I3+(I3*$Q$1*$S$2*EXP(E3*$AB$1)),0)</f>
        <v>3</v>
      </c>
      <c r="T3">
        <f>ROUNDUP(J3+(J3*$Q$1*$T$2*EXP(E3*$AB$1)),0)</f>
        <v>3</v>
      </c>
      <c r="V3">
        <f>ROUNDUP(Q3*$D$2,0)</f>
        <v>1</v>
      </c>
      <c r="W3">
        <f>ROUNDUP(R3*$D$3,0)</f>
        <v>2</v>
      </c>
      <c r="X3">
        <f>ROUNDUP(S3*$D$4,0)</f>
        <v>3</v>
      </c>
      <c r="Y3">
        <f>ROUNDUP(T3*$D$5,0)</f>
        <v>3</v>
      </c>
      <c r="AA3">
        <f>EXP(E3*$AB$1)</f>
        <v>0.95122942450071402</v>
      </c>
    </row>
    <row r="4" spans="3:28" x14ac:dyDescent="0.25">
      <c r="C4">
        <v>1.1000000000000001</v>
      </c>
      <c r="D4">
        <v>0.7</v>
      </c>
      <c r="E4">
        <v>2</v>
      </c>
      <c r="G4">
        <f>ROUNDUP($C$2*$E4,0)</f>
        <v>2</v>
      </c>
      <c r="H4">
        <f>ROUNDUP($C$3*$E4,0)</f>
        <v>3</v>
      </c>
      <c r="I4">
        <f>ROUNDUP($C$4*$E4,0)</f>
        <v>3</v>
      </c>
      <c r="J4">
        <f>ROUNDUP($C$5*$E4,0)</f>
        <v>3</v>
      </c>
      <c r="L4">
        <f>ROUNDUP(G4*$D$2,0)</f>
        <v>1</v>
      </c>
      <c r="M4">
        <f>ROUNDUP(H4*$D$3,0)</f>
        <v>2</v>
      </c>
      <c r="N4">
        <f>ROUNDUP(I4*$D$4,0)</f>
        <v>3</v>
      </c>
      <c r="O4">
        <f>ROUNDUP(J4*$D$5,0)</f>
        <v>3</v>
      </c>
      <c r="Q4">
        <f t="shared" ref="Q4:Q24" si="0">ROUNDUP(G4+(G4*$Q$1*$Q$2*EXP(E4*$AB$1)),0)</f>
        <v>3</v>
      </c>
      <c r="R4">
        <f t="shared" ref="R4:R24" si="1">ROUNDUP(H4+(H4*$Q$1*$R$2*EXP(E4*$AB$1)),0)</f>
        <v>4</v>
      </c>
      <c r="S4">
        <f t="shared" ref="S4:S24" si="2">ROUNDUP(I4+(I4*$Q$1*$S$2*EXP(E4*$AB$1)),0)</f>
        <v>5</v>
      </c>
      <c r="T4">
        <f>ROUNDUP(J4+(J4*$Q$1*$T$2*EXP(E4*$AB$1)),0)</f>
        <v>5</v>
      </c>
      <c r="V4">
        <f t="shared" ref="V4:V24" si="3">ROUNDUP(Q4*$D$2,0)</f>
        <v>2</v>
      </c>
      <c r="W4">
        <f t="shared" ref="W4:W24" si="4">ROUNDUP(R4*$D$3,0)</f>
        <v>3</v>
      </c>
      <c r="X4">
        <f t="shared" ref="X4:X24" si="5">ROUNDUP(S4*$D$4,0)</f>
        <v>4</v>
      </c>
      <c r="Y4">
        <f t="shared" ref="Y4:Y24" si="6">ROUNDUP(T4*$D$5,0)</f>
        <v>4</v>
      </c>
      <c r="AA4">
        <f t="shared" ref="AA4:AA24" si="7">EXP(E4*$AB$1)</f>
        <v>0.90483741803595952</v>
      </c>
    </row>
    <row r="5" spans="3:28" x14ac:dyDescent="0.25">
      <c r="C5">
        <v>1.1499999999999999</v>
      </c>
      <c r="D5">
        <v>0.8</v>
      </c>
      <c r="E5">
        <v>3</v>
      </c>
      <c r="G5">
        <f>ROUNDUP($C$2*$E5,0)</f>
        <v>3</v>
      </c>
      <c r="H5">
        <f>ROUNDUP($C$3*$E5,0)</f>
        <v>4</v>
      </c>
      <c r="I5">
        <f>ROUNDUP($C$4*$E5,0)</f>
        <v>4</v>
      </c>
      <c r="J5">
        <f>ROUNDUP($C$5*$E5,0)</f>
        <v>4</v>
      </c>
      <c r="L5">
        <f>ROUNDUP(G5*$D$2,0)</f>
        <v>2</v>
      </c>
      <c r="M5">
        <f>ROUNDUP(H5*$D$3,0)</f>
        <v>3</v>
      </c>
      <c r="N5">
        <f>ROUNDUP(I5*$D$4,0)</f>
        <v>3</v>
      </c>
      <c r="O5">
        <f>ROUNDUP(J5*$D$5,0)</f>
        <v>4</v>
      </c>
      <c r="Q5">
        <f t="shared" si="0"/>
        <v>4</v>
      </c>
      <c r="R5">
        <f t="shared" si="1"/>
        <v>6</v>
      </c>
      <c r="S5">
        <f t="shared" si="2"/>
        <v>6</v>
      </c>
      <c r="T5">
        <f>ROUNDUP(J5+(J5*$Q$1*$T$2*EXP(E5*$AB$1)),0)</f>
        <v>6</v>
      </c>
      <c r="V5">
        <f t="shared" si="3"/>
        <v>2</v>
      </c>
      <c r="W5">
        <f t="shared" si="4"/>
        <v>4</v>
      </c>
      <c r="X5">
        <f t="shared" si="5"/>
        <v>5</v>
      </c>
      <c r="Y5">
        <f t="shared" si="6"/>
        <v>5</v>
      </c>
      <c r="AA5">
        <f t="shared" si="7"/>
        <v>0.86070797642505781</v>
      </c>
    </row>
    <row r="6" spans="3:28" x14ac:dyDescent="0.25">
      <c r="E6">
        <v>4</v>
      </c>
      <c r="G6">
        <f>ROUNDUP($C$2*$E6,0)</f>
        <v>4</v>
      </c>
      <c r="H6">
        <f>ROUNDUP($C$3*$E6,0)</f>
        <v>5</v>
      </c>
      <c r="I6">
        <f>ROUNDUP($C$4*$E6,0)</f>
        <v>5</v>
      </c>
      <c r="J6">
        <f>ROUNDUP($C$5*$E6,0)</f>
        <v>5</v>
      </c>
      <c r="L6">
        <f>ROUNDUP(G6*$D$2,0)</f>
        <v>2</v>
      </c>
      <c r="M6">
        <f>ROUNDUP(H6*$D$3,0)</f>
        <v>3</v>
      </c>
      <c r="N6">
        <f>ROUNDUP(I6*$D$4,0)</f>
        <v>4</v>
      </c>
      <c r="O6">
        <f>ROUNDUP(J6*$D$5,0)</f>
        <v>4</v>
      </c>
      <c r="Q6">
        <f t="shared" si="0"/>
        <v>5</v>
      </c>
      <c r="R6">
        <f t="shared" si="1"/>
        <v>7</v>
      </c>
      <c r="S6">
        <f t="shared" si="2"/>
        <v>7</v>
      </c>
      <c r="T6">
        <f>ROUNDUP(J6+(J6*$Q$1*$T$2*EXP(E6*$AB$1)),0)</f>
        <v>8</v>
      </c>
      <c r="V6">
        <f t="shared" si="3"/>
        <v>3</v>
      </c>
      <c r="W6">
        <f t="shared" si="4"/>
        <v>5</v>
      </c>
      <c r="X6">
        <f t="shared" si="5"/>
        <v>5</v>
      </c>
      <c r="Y6">
        <f t="shared" si="6"/>
        <v>7</v>
      </c>
      <c r="AA6">
        <f t="shared" si="7"/>
        <v>0.81873075307798182</v>
      </c>
    </row>
    <row r="7" spans="3:28" x14ac:dyDescent="0.25">
      <c r="E7">
        <v>5</v>
      </c>
      <c r="G7">
        <f>ROUNDUP($C$2*$E7,0)</f>
        <v>5</v>
      </c>
      <c r="H7">
        <f>ROUNDUP($C$3*$E7,0)</f>
        <v>6</v>
      </c>
      <c r="I7">
        <f>ROUNDUP($C$4*$E7,0)</f>
        <v>6</v>
      </c>
      <c r="J7">
        <f>ROUNDUP($C$5*$E7,0)</f>
        <v>6</v>
      </c>
      <c r="L7">
        <f>ROUNDUP(G7*$D$2,0)</f>
        <v>3</v>
      </c>
      <c r="M7">
        <f>ROUNDUP(H7*$D$3,0)</f>
        <v>4</v>
      </c>
      <c r="N7">
        <f>ROUNDUP(I7*$D$4,0)</f>
        <v>5</v>
      </c>
      <c r="O7">
        <f>ROUNDUP(J7*$D$5,0)</f>
        <v>5</v>
      </c>
      <c r="Q7">
        <f t="shared" si="0"/>
        <v>6</v>
      </c>
      <c r="R7">
        <f t="shared" si="1"/>
        <v>8</v>
      </c>
      <c r="S7">
        <f t="shared" si="2"/>
        <v>8</v>
      </c>
      <c r="T7">
        <f>ROUNDUP(J7+(J7*$Q$1*$T$2*EXP(E7*$AB$1)),0)</f>
        <v>9</v>
      </c>
      <c r="V7">
        <f t="shared" si="3"/>
        <v>3</v>
      </c>
      <c r="W7">
        <f t="shared" si="4"/>
        <v>5</v>
      </c>
      <c r="X7">
        <f t="shared" si="5"/>
        <v>6</v>
      </c>
      <c r="Y7">
        <f t="shared" si="6"/>
        <v>8</v>
      </c>
      <c r="AA7">
        <f t="shared" si="7"/>
        <v>0.77880078307140488</v>
      </c>
    </row>
    <row r="8" spans="3:28" x14ac:dyDescent="0.25">
      <c r="E8">
        <v>6</v>
      </c>
      <c r="G8">
        <f>ROUNDUP($C$2*$E8,0)</f>
        <v>6</v>
      </c>
      <c r="H8">
        <f>ROUNDUP($C$3*$E8,0)</f>
        <v>7</v>
      </c>
      <c r="I8">
        <f>ROUNDUP($C$4*$E8,0)</f>
        <v>7</v>
      </c>
      <c r="J8">
        <f>ROUNDUP($C$5*$E8,0)</f>
        <v>7</v>
      </c>
      <c r="L8">
        <f>ROUNDUP(G8*$D$2,0)</f>
        <v>3</v>
      </c>
      <c r="M8">
        <f>ROUNDUP(H8*$D$3,0)</f>
        <v>5</v>
      </c>
      <c r="N8">
        <f>ROUNDUP(I8*$D$4,0)</f>
        <v>5</v>
      </c>
      <c r="O8">
        <f>ROUNDUP(J8*$D$5,0)</f>
        <v>6</v>
      </c>
      <c r="Q8">
        <f t="shared" si="0"/>
        <v>7</v>
      </c>
      <c r="R8">
        <f t="shared" si="1"/>
        <v>9</v>
      </c>
      <c r="S8">
        <f t="shared" si="2"/>
        <v>10</v>
      </c>
      <c r="T8">
        <f>ROUNDUP(J8+(J8*$Q$1*$T$2*EXP(E8*$AB$1)),0)</f>
        <v>10</v>
      </c>
      <c r="V8">
        <f t="shared" si="3"/>
        <v>4</v>
      </c>
      <c r="W8">
        <f t="shared" si="4"/>
        <v>6</v>
      </c>
      <c r="X8">
        <f t="shared" si="5"/>
        <v>7</v>
      </c>
      <c r="Y8">
        <f t="shared" si="6"/>
        <v>8</v>
      </c>
      <c r="AA8">
        <f t="shared" si="7"/>
        <v>0.74081822068171788</v>
      </c>
    </row>
    <row r="9" spans="3:28" x14ac:dyDescent="0.25">
      <c r="E9">
        <v>7</v>
      </c>
      <c r="G9">
        <f>ROUNDUP($C$2*$E9,0)</f>
        <v>7</v>
      </c>
      <c r="H9">
        <f>ROUNDUP($C$3*$E9,0)</f>
        <v>8</v>
      </c>
      <c r="I9">
        <f>ROUNDUP($C$4*$E9,0)</f>
        <v>8</v>
      </c>
      <c r="J9">
        <f>ROUNDUP($C$5*$E9,0)</f>
        <v>9</v>
      </c>
      <c r="L9">
        <f>ROUNDUP(G9*$D$2,0)</f>
        <v>4</v>
      </c>
      <c r="M9">
        <f>ROUNDUP(H9*$D$3,0)</f>
        <v>5</v>
      </c>
      <c r="N9">
        <f>ROUNDUP(I9*$D$4,0)</f>
        <v>6</v>
      </c>
      <c r="O9">
        <f>ROUNDUP(J9*$D$5,0)</f>
        <v>8</v>
      </c>
      <c r="Q9">
        <f t="shared" si="0"/>
        <v>8</v>
      </c>
      <c r="R9">
        <f t="shared" si="1"/>
        <v>10</v>
      </c>
      <c r="S9">
        <f t="shared" si="2"/>
        <v>11</v>
      </c>
      <c r="T9">
        <f>ROUNDUP(J9+(J9*$Q$1*$T$2*EXP(E9*$AB$1)),0)</f>
        <v>13</v>
      </c>
      <c r="V9">
        <f t="shared" si="3"/>
        <v>4</v>
      </c>
      <c r="W9">
        <f t="shared" si="4"/>
        <v>6</v>
      </c>
      <c r="X9">
        <f t="shared" si="5"/>
        <v>8</v>
      </c>
      <c r="Y9">
        <f t="shared" si="6"/>
        <v>11</v>
      </c>
      <c r="AA9">
        <f t="shared" si="7"/>
        <v>0.70468808971871344</v>
      </c>
    </row>
    <row r="10" spans="3:28" x14ac:dyDescent="0.25">
      <c r="E10">
        <v>8</v>
      </c>
      <c r="G10">
        <f>ROUNDUP($C$2*$E10,0)</f>
        <v>8</v>
      </c>
      <c r="H10">
        <f>ROUNDUP($C$3*$E10,0)</f>
        <v>9</v>
      </c>
      <c r="I10">
        <f>ROUNDUP($C$4*$E10,0)</f>
        <v>9</v>
      </c>
      <c r="J10">
        <f>ROUNDUP($C$5*$E10,0)</f>
        <v>10</v>
      </c>
      <c r="L10">
        <f>ROUNDUP(G10*$D$2,0)</f>
        <v>4</v>
      </c>
      <c r="M10">
        <f>ROUNDUP(H10*$D$3,0)</f>
        <v>6</v>
      </c>
      <c r="N10">
        <f>ROUNDUP(I10*$D$4,0)</f>
        <v>7</v>
      </c>
      <c r="O10">
        <f>ROUNDUP(J10*$D$5,0)</f>
        <v>8</v>
      </c>
      <c r="Q10">
        <f t="shared" si="0"/>
        <v>10</v>
      </c>
      <c r="R10">
        <f t="shared" si="1"/>
        <v>11</v>
      </c>
      <c r="S10">
        <f t="shared" si="2"/>
        <v>12</v>
      </c>
      <c r="T10">
        <f>ROUNDUP(J10+(J10*$Q$1*$T$2*EXP(E10*$AB$1)),0)</f>
        <v>14</v>
      </c>
      <c r="V10">
        <f t="shared" si="3"/>
        <v>5</v>
      </c>
      <c r="W10">
        <f t="shared" si="4"/>
        <v>7</v>
      </c>
      <c r="X10">
        <f t="shared" si="5"/>
        <v>9</v>
      </c>
      <c r="Y10">
        <f t="shared" si="6"/>
        <v>12</v>
      </c>
      <c r="AA10">
        <f t="shared" si="7"/>
        <v>0.67032004603563933</v>
      </c>
    </row>
    <row r="11" spans="3:28" x14ac:dyDescent="0.25">
      <c r="E11">
        <v>9</v>
      </c>
      <c r="G11">
        <f>ROUNDUP($C$2*$E11,0)</f>
        <v>9</v>
      </c>
      <c r="H11">
        <f>ROUNDUP($C$3*$E11,0)</f>
        <v>10</v>
      </c>
      <c r="I11">
        <f>ROUNDUP($C$4*$E11,0)</f>
        <v>10</v>
      </c>
      <c r="J11">
        <f>ROUNDUP($C$5*$E11,0)</f>
        <v>11</v>
      </c>
      <c r="L11">
        <f>ROUNDUP(G11*$D$2,0)</f>
        <v>5</v>
      </c>
      <c r="M11">
        <f>ROUNDUP(H11*$D$3,0)</f>
        <v>6</v>
      </c>
      <c r="N11">
        <f>ROUNDUP(I11*$D$4,0)</f>
        <v>7</v>
      </c>
      <c r="O11">
        <f>ROUNDUP(J11*$D$5,0)</f>
        <v>9</v>
      </c>
      <c r="Q11">
        <f t="shared" si="0"/>
        <v>11</v>
      </c>
      <c r="R11">
        <f t="shared" si="1"/>
        <v>12</v>
      </c>
      <c r="S11">
        <f t="shared" si="2"/>
        <v>13</v>
      </c>
      <c r="T11">
        <f>ROUNDUP(J11+(J11*$Q$1*$T$2*EXP(E11*$AB$1)),0)</f>
        <v>15</v>
      </c>
      <c r="V11">
        <f t="shared" si="3"/>
        <v>6</v>
      </c>
      <c r="W11">
        <f t="shared" si="4"/>
        <v>8</v>
      </c>
      <c r="X11">
        <f t="shared" si="5"/>
        <v>10</v>
      </c>
      <c r="Y11">
        <f t="shared" si="6"/>
        <v>12</v>
      </c>
      <c r="AA11">
        <f t="shared" si="7"/>
        <v>0.63762815162177333</v>
      </c>
    </row>
    <row r="12" spans="3:28" x14ac:dyDescent="0.25">
      <c r="E12">
        <v>10</v>
      </c>
      <c r="G12">
        <f>ROUNDUP($C$2*$E12,0)</f>
        <v>10</v>
      </c>
      <c r="H12">
        <f>ROUNDUP($C$3*$E12,0)</f>
        <v>11</v>
      </c>
      <c r="I12">
        <f>ROUNDUP($C$4*$E12,0)</f>
        <v>11</v>
      </c>
      <c r="J12">
        <f>ROUNDUP($C$5*$E12,0)</f>
        <v>12</v>
      </c>
      <c r="L12">
        <f>ROUNDUP(G12*$D$2,0)</f>
        <v>5</v>
      </c>
      <c r="M12">
        <f>ROUNDUP(H12*$D$3,0)</f>
        <v>7</v>
      </c>
      <c r="N12">
        <f>ROUNDUP(I12*$D$4,0)</f>
        <v>8</v>
      </c>
      <c r="O12">
        <f>ROUNDUP(J12*$D$5,0)</f>
        <v>10</v>
      </c>
      <c r="Q12">
        <f t="shared" si="0"/>
        <v>12</v>
      </c>
      <c r="R12">
        <f t="shared" si="1"/>
        <v>14</v>
      </c>
      <c r="S12">
        <f t="shared" si="2"/>
        <v>14</v>
      </c>
      <c r="T12">
        <f>ROUNDUP(J12+(J12*$Q$1*$T$2*EXP(E12*$AB$1)),0)</f>
        <v>16</v>
      </c>
      <c r="V12">
        <f t="shared" si="3"/>
        <v>6</v>
      </c>
      <c r="W12">
        <f t="shared" si="4"/>
        <v>9</v>
      </c>
      <c r="X12">
        <f t="shared" si="5"/>
        <v>10</v>
      </c>
      <c r="Y12">
        <f t="shared" si="6"/>
        <v>13</v>
      </c>
      <c r="AA12">
        <f t="shared" si="7"/>
        <v>0.60653065971263342</v>
      </c>
    </row>
    <row r="13" spans="3:28" x14ac:dyDescent="0.25">
      <c r="E13">
        <v>11</v>
      </c>
      <c r="G13">
        <f>ROUNDUP($C$2*$E13,0)</f>
        <v>11</v>
      </c>
      <c r="H13">
        <f>ROUNDUP($C$3*$E13,0)</f>
        <v>12</v>
      </c>
      <c r="I13">
        <f>ROUNDUP($C$4*$E13,0)</f>
        <v>13</v>
      </c>
      <c r="J13">
        <f>ROUNDUP($C$5*$E13,0)</f>
        <v>13</v>
      </c>
      <c r="L13">
        <f>ROUNDUP(G13*$D$2,0)</f>
        <v>6</v>
      </c>
      <c r="M13">
        <f>ROUNDUP(H13*$D$3,0)</f>
        <v>8</v>
      </c>
      <c r="N13">
        <f>ROUNDUP(I13*$D$4,0)</f>
        <v>10</v>
      </c>
      <c r="O13">
        <f>ROUNDUP(J13*$D$5,0)</f>
        <v>11</v>
      </c>
      <c r="Q13">
        <f t="shared" si="0"/>
        <v>13</v>
      </c>
      <c r="R13">
        <f t="shared" si="1"/>
        <v>15</v>
      </c>
      <c r="S13">
        <f t="shared" si="2"/>
        <v>17</v>
      </c>
      <c r="T13">
        <f>ROUNDUP(J13+(J13*$Q$1*$T$2*EXP(E13*$AB$1)),0)</f>
        <v>17</v>
      </c>
      <c r="V13">
        <f t="shared" si="3"/>
        <v>7</v>
      </c>
      <c r="W13">
        <f t="shared" si="4"/>
        <v>9</v>
      </c>
      <c r="X13">
        <f t="shared" si="5"/>
        <v>12</v>
      </c>
      <c r="Y13">
        <f t="shared" si="6"/>
        <v>14</v>
      </c>
      <c r="AA13">
        <f t="shared" si="7"/>
        <v>0.57694981038048665</v>
      </c>
    </row>
    <row r="14" spans="3:28" x14ac:dyDescent="0.25">
      <c r="E14">
        <v>12</v>
      </c>
      <c r="G14">
        <f>ROUNDUP($C$2*$E14,0)</f>
        <v>12</v>
      </c>
      <c r="H14">
        <f>ROUNDUP($C$3*$E14,0)</f>
        <v>13</v>
      </c>
      <c r="I14">
        <f>ROUNDUP($C$4*$E14,0)</f>
        <v>14</v>
      </c>
      <c r="J14">
        <f>ROUNDUP($C$5*$E14,0)</f>
        <v>14</v>
      </c>
      <c r="L14">
        <f>ROUNDUP(G14*$D$2,0)</f>
        <v>6</v>
      </c>
      <c r="M14">
        <f>ROUNDUP(H14*$D$3,0)</f>
        <v>8</v>
      </c>
      <c r="N14">
        <f>ROUNDUP(I14*$D$4,0)</f>
        <v>10</v>
      </c>
      <c r="O14">
        <f>ROUNDUP(J14*$D$5,0)</f>
        <v>12</v>
      </c>
      <c r="Q14">
        <f t="shared" si="0"/>
        <v>14</v>
      </c>
      <c r="R14">
        <f t="shared" si="1"/>
        <v>16</v>
      </c>
      <c r="S14">
        <f t="shared" si="2"/>
        <v>18</v>
      </c>
      <c r="T14">
        <f>ROUNDUP(J14+(J14*$Q$1*$T$2*EXP(E14*$AB$1)),0)</f>
        <v>18</v>
      </c>
      <c r="V14">
        <f t="shared" si="3"/>
        <v>7</v>
      </c>
      <c r="W14">
        <f t="shared" si="4"/>
        <v>10</v>
      </c>
      <c r="X14">
        <f t="shared" si="5"/>
        <v>13</v>
      </c>
      <c r="Y14">
        <f t="shared" si="6"/>
        <v>15</v>
      </c>
      <c r="AA14">
        <f t="shared" si="7"/>
        <v>0.54881163609402639</v>
      </c>
    </row>
    <row r="15" spans="3:28" x14ac:dyDescent="0.25">
      <c r="E15">
        <v>13</v>
      </c>
      <c r="G15">
        <f>ROUNDUP($C$2*$E15,0)</f>
        <v>13</v>
      </c>
      <c r="H15">
        <f>ROUNDUP($C$3*$E15,0)</f>
        <v>14</v>
      </c>
      <c r="I15">
        <f>ROUNDUP($C$4*$E15,0)</f>
        <v>15</v>
      </c>
      <c r="J15">
        <f>ROUNDUP($C$5*$E15,0)</f>
        <v>15</v>
      </c>
      <c r="L15">
        <f>ROUNDUP(G15*$D$2,0)</f>
        <v>7</v>
      </c>
      <c r="M15">
        <f>ROUNDUP(H15*$D$3,0)</f>
        <v>9</v>
      </c>
      <c r="N15">
        <f>ROUNDUP(I15*$D$4,0)</f>
        <v>11</v>
      </c>
      <c r="O15">
        <f>ROUNDUP(J15*$D$5,0)</f>
        <v>12</v>
      </c>
      <c r="Q15">
        <f t="shared" si="0"/>
        <v>15</v>
      </c>
      <c r="R15">
        <f t="shared" si="1"/>
        <v>17</v>
      </c>
      <c r="S15">
        <f t="shared" si="2"/>
        <v>19</v>
      </c>
      <c r="T15">
        <f>ROUNDUP(J15+(J15*$Q$1*$T$2*EXP(E15*$AB$1)),0)</f>
        <v>19</v>
      </c>
      <c r="V15">
        <f t="shared" si="3"/>
        <v>8</v>
      </c>
      <c r="W15">
        <f t="shared" si="4"/>
        <v>11</v>
      </c>
      <c r="X15">
        <f t="shared" si="5"/>
        <v>14</v>
      </c>
      <c r="Y15">
        <f t="shared" si="6"/>
        <v>16</v>
      </c>
      <c r="AA15">
        <f t="shared" si="7"/>
        <v>0.52204577676101604</v>
      </c>
    </row>
    <row r="16" spans="3:28" x14ac:dyDescent="0.25">
      <c r="E16">
        <v>14</v>
      </c>
      <c r="G16">
        <f>ROUNDUP($C$2*$E16,0)</f>
        <v>14</v>
      </c>
      <c r="H16">
        <f>ROUNDUP($C$3*$E16,0)</f>
        <v>15</v>
      </c>
      <c r="I16">
        <f>ROUNDUP($C$4*$E16,0)</f>
        <v>16</v>
      </c>
      <c r="J16">
        <f>ROUNDUP($C$5*$E16,0)</f>
        <v>17</v>
      </c>
      <c r="L16">
        <f>ROUNDUP(G16*$D$2,0)</f>
        <v>7</v>
      </c>
      <c r="M16">
        <f>ROUNDUP(H16*$D$3,0)</f>
        <v>9</v>
      </c>
      <c r="N16">
        <f>ROUNDUP(I16*$D$4,0)</f>
        <v>12</v>
      </c>
      <c r="O16">
        <f>ROUNDUP(J16*$D$5,0)</f>
        <v>14</v>
      </c>
      <c r="Q16">
        <f t="shared" si="0"/>
        <v>16</v>
      </c>
      <c r="R16">
        <f t="shared" si="1"/>
        <v>18</v>
      </c>
      <c r="S16">
        <f t="shared" si="2"/>
        <v>20</v>
      </c>
      <c r="T16">
        <f>ROUNDUP(J16+(J16*$Q$1*$T$2*EXP(E16*$AB$1)),0)</f>
        <v>22</v>
      </c>
      <c r="V16">
        <f t="shared" si="3"/>
        <v>8</v>
      </c>
      <c r="W16">
        <f t="shared" si="4"/>
        <v>11</v>
      </c>
      <c r="X16">
        <f t="shared" si="5"/>
        <v>14</v>
      </c>
      <c r="Y16">
        <f t="shared" si="6"/>
        <v>18</v>
      </c>
      <c r="AA16">
        <f t="shared" si="7"/>
        <v>0.49658530379140947</v>
      </c>
    </row>
    <row r="17" spans="5:27" x14ac:dyDescent="0.25">
      <c r="E17">
        <v>15</v>
      </c>
      <c r="G17">
        <f>ROUNDUP($C$2*$E17,0)</f>
        <v>15</v>
      </c>
      <c r="H17">
        <f>ROUNDUP($C$3*$E17,0)</f>
        <v>16</v>
      </c>
      <c r="I17">
        <f>ROUNDUP($C$4*$E17,0)</f>
        <v>17</v>
      </c>
      <c r="J17">
        <f>ROUNDUP($C$5*$E17,0)</f>
        <v>18</v>
      </c>
      <c r="L17">
        <f>ROUNDUP(G17*$D$2,0)</f>
        <v>8</v>
      </c>
      <c r="M17">
        <f>ROUNDUP(H17*$D$3,0)</f>
        <v>10</v>
      </c>
      <c r="N17">
        <f>ROUNDUP(I17*$D$4,0)</f>
        <v>12</v>
      </c>
      <c r="O17">
        <f>ROUNDUP(J17*$D$5,0)</f>
        <v>15</v>
      </c>
      <c r="Q17">
        <f t="shared" si="0"/>
        <v>17</v>
      </c>
      <c r="R17">
        <f t="shared" si="1"/>
        <v>19</v>
      </c>
      <c r="S17">
        <f t="shared" si="2"/>
        <v>21</v>
      </c>
      <c r="T17">
        <f>ROUNDUP(J17+(J17*$Q$1*$T$2*EXP(E17*$AB$1)),0)</f>
        <v>23</v>
      </c>
      <c r="V17">
        <f t="shared" si="3"/>
        <v>9</v>
      </c>
      <c r="W17">
        <f t="shared" si="4"/>
        <v>12</v>
      </c>
      <c r="X17">
        <f t="shared" si="5"/>
        <v>15</v>
      </c>
      <c r="Y17">
        <f t="shared" si="6"/>
        <v>19</v>
      </c>
      <c r="AA17">
        <f t="shared" si="7"/>
        <v>0.47236655274101469</v>
      </c>
    </row>
    <row r="18" spans="5:27" x14ac:dyDescent="0.25">
      <c r="E18">
        <v>16</v>
      </c>
      <c r="G18">
        <f>ROUNDUP($C$2*$E18,0)</f>
        <v>16</v>
      </c>
      <c r="H18">
        <f>ROUNDUP($C$3*$E18,0)</f>
        <v>17</v>
      </c>
      <c r="I18">
        <f>ROUNDUP($C$4*$E18,0)</f>
        <v>18</v>
      </c>
      <c r="J18">
        <f>ROUNDUP($C$5*$E18,0)</f>
        <v>19</v>
      </c>
      <c r="L18">
        <f>ROUNDUP(G18*$D$2,0)</f>
        <v>8</v>
      </c>
      <c r="M18">
        <f>ROUNDUP(H18*$D$3,0)</f>
        <v>11</v>
      </c>
      <c r="N18">
        <f>ROUNDUP(I18*$D$4,0)</f>
        <v>13</v>
      </c>
      <c r="O18">
        <f>ROUNDUP(J18*$D$5,0)</f>
        <v>16</v>
      </c>
      <c r="Q18">
        <f t="shared" si="0"/>
        <v>18</v>
      </c>
      <c r="R18">
        <f t="shared" si="1"/>
        <v>20</v>
      </c>
      <c r="S18">
        <f t="shared" si="2"/>
        <v>22</v>
      </c>
      <c r="T18">
        <f>ROUNDUP(J18+(J18*$Q$1*$T$2*EXP(E18*$AB$1)),0)</f>
        <v>24</v>
      </c>
      <c r="V18">
        <f t="shared" si="3"/>
        <v>9</v>
      </c>
      <c r="W18">
        <f t="shared" si="4"/>
        <v>12</v>
      </c>
      <c r="X18">
        <f t="shared" si="5"/>
        <v>16</v>
      </c>
      <c r="Y18">
        <f t="shared" si="6"/>
        <v>20</v>
      </c>
      <c r="AA18">
        <f t="shared" si="7"/>
        <v>0.44932896411722156</v>
      </c>
    </row>
    <row r="19" spans="5:27" x14ac:dyDescent="0.25">
      <c r="E19">
        <v>17</v>
      </c>
      <c r="G19">
        <f>ROUNDUP($C$2*$E19,0)</f>
        <v>17</v>
      </c>
      <c r="H19">
        <f>ROUNDUP($C$3*$E19,0)</f>
        <v>18</v>
      </c>
      <c r="I19">
        <f>ROUNDUP($C$4*$E19,0)</f>
        <v>19</v>
      </c>
      <c r="J19">
        <f>ROUNDUP($C$5*$E19,0)</f>
        <v>20</v>
      </c>
      <c r="L19">
        <f>ROUNDUP(G19*$D$2,0)</f>
        <v>9</v>
      </c>
      <c r="M19">
        <f>ROUNDUP(H19*$D$3,0)</f>
        <v>11</v>
      </c>
      <c r="N19">
        <f>ROUNDUP(I19*$D$4,0)</f>
        <v>14</v>
      </c>
      <c r="O19">
        <f>ROUNDUP(J19*$D$5,0)</f>
        <v>16</v>
      </c>
      <c r="Q19">
        <f t="shared" si="0"/>
        <v>19</v>
      </c>
      <c r="R19">
        <f t="shared" si="1"/>
        <v>21</v>
      </c>
      <c r="S19">
        <f t="shared" si="2"/>
        <v>23</v>
      </c>
      <c r="T19">
        <f>ROUNDUP(J19+(J19*$Q$1*$T$2*EXP(E19*$AB$1)),0)</f>
        <v>25</v>
      </c>
      <c r="V19">
        <f t="shared" si="3"/>
        <v>10</v>
      </c>
      <c r="W19">
        <f t="shared" si="4"/>
        <v>13</v>
      </c>
      <c r="X19">
        <f t="shared" si="5"/>
        <v>17</v>
      </c>
      <c r="Y19">
        <f t="shared" si="6"/>
        <v>20</v>
      </c>
      <c r="AA19">
        <f t="shared" si="7"/>
        <v>0.42741493194872665</v>
      </c>
    </row>
    <row r="20" spans="5:27" x14ac:dyDescent="0.25">
      <c r="E20">
        <v>18</v>
      </c>
      <c r="G20">
        <f>ROUNDUP($C$2*$E20,0)</f>
        <v>18</v>
      </c>
      <c r="H20">
        <f>ROUNDUP($C$3*$E20,0)</f>
        <v>19</v>
      </c>
      <c r="I20">
        <f>ROUNDUP($C$4*$E20,0)</f>
        <v>20</v>
      </c>
      <c r="J20">
        <f>ROUNDUP($C$5*$E20,0)</f>
        <v>21</v>
      </c>
      <c r="L20">
        <f>ROUNDUP(G20*$D$2,0)</f>
        <v>9</v>
      </c>
      <c r="M20">
        <f>ROUNDUP(H20*$D$3,0)</f>
        <v>12</v>
      </c>
      <c r="N20">
        <f>ROUNDUP(I20*$D$4,0)</f>
        <v>14</v>
      </c>
      <c r="O20">
        <f>ROUNDUP(J20*$D$5,0)</f>
        <v>17</v>
      </c>
      <c r="Q20">
        <f t="shared" si="0"/>
        <v>20</v>
      </c>
      <c r="R20">
        <f t="shared" si="1"/>
        <v>22</v>
      </c>
      <c r="S20">
        <f t="shared" si="2"/>
        <v>24</v>
      </c>
      <c r="T20">
        <f>ROUNDUP(J20+(J20*$Q$1*$T$2*EXP(E20*$AB$1)),0)</f>
        <v>26</v>
      </c>
      <c r="V20">
        <f t="shared" si="3"/>
        <v>10</v>
      </c>
      <c r="W20">
        <f t="shared" si="4"/>
        <v>14</v>
      </c>
      <c r="X20">
        <f t="shared" si="5"/>
        <v>17</v>
      </c>
      <c r="Y20">
        <f t="shared" si="6"/>
        <v>21</v>
      </c>
      <c r="AA20">
        <f t="shared" si="7"/>
        <v>0.40656965974059911</v>
      </c>
    </row>
    <row r="21" spans="5:27" x14ac:dyDescent="0.25">
      <c r="E21">
        <v>19</v>
      </c>
      <c r="G21">
        <f>ROUNDUP($C$2*$E21,0)</f>
        <v>19</v>
      </c>
      <c r="H21">
        <f>ROUNDUP($C$3*$E21,0)</f>
        <v>20</v>
      </c>
      <c r="I21">
        <f>ROUNDUP($C$4*$E21,0)</f>
        <v>21</v>
      </c>
      <c r="J21">
        <f>ROUNDUP($C$5*$E21,0)</f>
        <v>22</v>
      </c>
      <c r="L21">
        <f>ROUNDUP(G21*$D$2,0)</f>
        <v>10</v>
      </c>
      <c r="M21">
        <f>ROUNDUP(H21*$D$3,0)</f>
        <v>12</v>
      </c>
      <c r="N21">
        <f>ROUNDUP(I21*$D$4,0)</f>
        <v>15</v>
      </c>
      <c r="O21">
        <f>ROUNDUP(J21*$D$5,0)</f>
        <v>18</v>
      </c>
      <c r="Q21">
        <f t="shared" si="0"/>
        <v>21</v>
      </c>
      <c r="R21">
        <f t="shared" si="1"/>
        <v>23</v>
      </c>
      <c r="S21">
        <f t="shared" si="2"/>
        <v>25</v>
      </c>
      <c r="T21">
        <f>ROUNDUP(J21+(J21*$Q$1*$T$2*EXP(E21*$AB$1)),0)</f>
        <v>27</v>
      </c>
      <c r="V21">
        <f t="shared" si="3"/>
        <v>11</v>
      </c>
      <c r="W21">
        <f t="shared" si="4"/>
        <v>14</v>
      </c>
      <c r="X21">
        <f t="shared" si="5"/>
        <v>18</v>
      </c>
      <c r="Y21">
        <f t="shared" si="6"/>
        <v>22</v>
      </c>
      <c r="AA21">
        <f t="shared" si="7"/>
        <v>0.38674102345450118</v>
      </c>
    </row>
    <row r="22" spans="5:27" x14ac:dyDescent="0.25">
      <c r="E22">
        <v>20</v>
      </c>
      <c r="G22">
        <f>ROUNDUP($C$2*$E22,0)</f>
        <v>20</v>
      </c>
      <c r="H22">
        <f>ROUNDUP($C$3*$E22,0)</f>
        <v>21</v>
      </c>
      <c r="I22">
        <f>ROUNDUP($C$4*$E22,0)</f>
        <v>22</v>
      </c>
      <c r="J22">
        <f>ROUNDUP($C$5*$E22,0)</f>
        <v>23</v>
      </c>
      <c r="L22">
        <f>ROUNDUP(G22*$D$2,0)</f>
        <v>10</v>
      </c>
      <c r="M22">
        <f>ROUNDUP(H22*$D$3,0)</f>
        <v>13</v>
      </c>
      <c r="N22">
        <f>ROUNDUP(I22*$D$4,0)</f>
        <v>16</v>
      </c>
      <c r="O22">
        <f>ROUNDUP(J22*$D$5,0)</f>
        <v>19</v>
      </c>
      <c r="Q22">
        <f t="shared" si="0"/>
        <v>22</v>
      </c>
      <c r="R22">
        <f t="shared" si="1"/>
        <v>24</v>
      </c>
      <c r="S22">
        <f t="shared" si="2"/>
        <v>26</v>
      </c>
      <c r="T22">
        <f>ROUNDUP(J22+(J22*$Q$1*$T$2*EXP(E22*$AB$1)),0)</f>
        <v>28</v>
      </c>
      <c r="V22">
        <f t="shared" si="3"/>
        <v>11</v>
      </c>
      <c r="W22">
        <f t="shared" si="4"/>
        <v>15</v>
      </c>
      <c r="X22">
        <f t="shared" si="5"/>
        <v>19</v>
      </c>
      <c r="Y22">
        <f t="shared" si="6"/>
        <v>23</v>
      </c>
      <c r="AA22">
        <f t="shared" si="7"/>
        <v>0.36787944117144233</v>
      </c>
    </row>
    <row r="23" spans="5:27" x14ac:dyDescent="0.25">
      <c r="E23">
        <v>21</v>
      </c>
      <c r="G23">
        <f>ROUNDUP($C$2*$E23,0)</f>
        <v>21</v>
      </c>
      <c r="H23">
        <f>ROUNDUP($C$3*$E23,0)</f>
        <v>23</v>
      </c>
      <c r="I23">
        <f>ROUNDUP($C$4*$E23,0)</f>
        <v>24</v>
      </c>
      <c r="J23">
        <f>ROUNDUP($C$5*$E23,0)</f>
        <v>25</v>
      </c>
      <c r="L23">
        <f>ROUNDUP(G23*$D$2,0)</f>
        <v>11</v>
      </c>
      <c r="M23">
        <f>ROUNDUP(H23*$D$3,0)</f>
        <v>14</v>
      </c>
      <c r="N23">
        <f>ROUNDUP(I23*$D$4,0)</f>
        <v>17</v>
      </c>
      <c r="O23">
        <f>ROUNDUP(J23*$D$5,0)</f>
        <v>20</v>
      </c>
      <c r="Q23">
        <f t="shared" si="0"/>
        <v>23</v>
      </c>
      <c r="R23">
        <f t="shared" si="1"/>
        <v>26</v>
      </c>
      <c r="S23">
        <f t="shared" si="2"/>
        <v>28</v>
      </c>
      <c r="T23">
        <f>ROUNDUP(J23+(J23*$Q$1*$T$2*EXP(E23*$AB$1)),0)</f>
        <v>30</v>
      </c>
      <c r="V23">
        <f t="shared" si="3"/>
        <v>12</v>
      </c>
      <c r="W23">
        <f t="shared" si="4"/>
        <v>16</v>
      </c>
      <c r="X23">
        <f t="shared" si="5"/>
        <v>20</v>
      </c>
      <c r="Y23">
        <f t="shared" si="6"/>
        <v>24</v>
      </c>
      <c r="AA23">
        <f t="shared" si="7"/>
        <v>0.34993774911115533</v>
      </c>
    </row>
    <row r="24" spans="5:27" x14ac:dyDescent="0.25">
      <c r="E24">
        <v>22</v>
      </c>
      <c r="G24">
        <f>ROUNDUP($C$2*$E24,0)</f>
        <v>22</v>
      </c>
      <c r="H24">
        <f>ROUNDUP($C$3*$E24,0)</f>
        <v>24</v>
      </c>
      <c r="I24">
        <f>ROUNDUP($C$4*$E24,0)</f>
        <v>25</v>
      </c>
      <c r="J24">
        <f>ROUNDUP($C$5*$E24,0)</f>
        <v>26</v>
      </c>
      <c r="L24">
        <f>ROUNDUP(G24*$D$2,0)</f>
        <v>11</v>
      </c>
      <c r="M24">
        <f>ROUNDUP(H24*$D$3,0)</f>
        <v>15</v>
      </c>
      <c r="N24">
        <f>ROUNDUP(I24*$D$4,0)</f>
        <v>18</v>
      </c>
      <c r="O24">
        <f>ROUNDUP(J24*$D$5,0)</f>
        <v>21</v>
      </c>
      <c r="Q24">
        <f t="shared" si="0"/>
        <v>24</v>
      </c>
      <c r="R24">
        <f t="shared" si="1"/>
        <v>27</v>
      </c>
      <c r="S24">
        <f t="shared" si="2"/>
        <v>29</v>
      </c>
      <c r="T24">
        <f>ROUNDUP(J24+(J24*$Q$1*$T$2*EXP(E24*$AB$1)),0)</f>
        <v>31</v>
      </c>
      <c r="V24">
        <f t="shared" si="3"/>
        <v>12</v>
      </c>
      <c r="W24">
        <f t="shared" si="4"/>
        <v>17</v>
      </c>
      <c r="X24">
        <f t="shared" si="5"/>
        <v>21</v>
      </c>
      <c r="Y24">
        <f t="shared" si="6"/>
        <v>25</v>
      </c>
      <c r="AA24">
        <f t="shared" si="7"/>
        <v>0.33287108369807955</v>
      </c>
    </row>
  </sheetData>
  <mergeCells count="2">
    <mergeCell ref="G2:J2"/>
    <mergeCell ref="L2:O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MedAustron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Pozenel Alexander</dc:creator>
  <cp:lastModifiedBy>Pozenel Alexander</cp:lastModifiedBy>
  <dcterms:created xsi:type="dcterms:W3CDTF">2018-11-09T13:28:44Z</dcterms:created>
  <dcterms:modified xsi:type="dcterms:W3CDTF">2018-11-09T14:50:13Z</dcterms:modified>
</cp:coreProperties>
</file>